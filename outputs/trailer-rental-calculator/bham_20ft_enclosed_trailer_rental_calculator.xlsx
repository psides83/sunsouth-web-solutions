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cd3cd2e89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771466ea7f6f466b"/>
    <x:sheet xmlns:r="http://schemas.openxmlformats.org/officeDocument/2006/relationships" name="Rate Setup" sheetId="2" r:id="R9e3d19a02ff44e4b"/>
    <x:sheet xmlns:r="http://schemas.openxmlformats.org/officeDocument/2006/relationships" name="Source Notes" sheetId="3" r:id="R3bb5b20a2893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h:mm AM/PM"/>
    <x:numFmt numFmtId="202" formatCode="0.0"/>
    <x:numFmt numFmtId="203" formatCode="0.0%"/>
    <x:numFmt numFmtId="204" formatCode="$#,##0.00"/>
    <x:numFmt numFmtId="205" formatCode="0%"/>
    <x:numFmt numFmtId="206" formatCode="0"/>
  </x:numFmts>
  <x:fonts count="5">
    <x:font>
      <x:sz val="11"/>
      <x:name val="Carlito"/>
    </x:font>
    <x:font>
      <x:b/>
      <x:sz val="16"/>
      <x:color rgb="FF17324D"/>
      <x:name val="Carlito"/>
    </x:font>
    <x:font>
      <x:b/>
      <x:sz val="11"/>
      <x:color rgb="FF17324D"/>
      <x:name val="Carlito"/>
    </x:font>
    <x:font>
      <x:b/>
      <x:sz val="11"/>
      <x:name val="Carlito"/>
    </x:font>
    <x:font>
      <x:sz val="11"/>
      <x:color rgb="FF333333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C8D0D8"/>
      </x:left>
      <x:right style="thin">
        <x:color rgb="FFC8D0D8"/>
      </x:right>
      <x:top style="thin">
        <x:color rgb="FFC8D0D8"/>
      </x:top>
      <x:bottom style="thin">
        <x:color rgb="FFC8D0D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horizontal="center"/>
    </x:xf>
    <x:xf numFmtId="0" fontId="3" borderId="0" xfId="0" applyNumberFormat="1" applyFont="1" applyFill="0" applyBorder="1"/>
    <x:xf numFmtId="200" fontId="0" borderId="0" xfId="0" applyNumberFormat="1" applyFont="1" applyFill="0" applyBorder="1"/>
    <x:xf numFmtId="201" fontId="0" borderId="0" xfId="0" applyNumberFormat="1" applyFont="1" applyFill="0" applyBorder="1"/>
    <x:xf numFmtId="202" fontId="0" borderId="0" xfId="0" applyNumberFormat="1" applyFont="1" applyFill="0" applyBorder="1"/>
    <x:xf numFmtId="203" fontId="0" borderId="0" xfId="0" applyNumberFormat="1" applyFont="1" applyFill="0" applyBorder="1"/>
    <x:xf numFmtId="204" fontId="0" borderId="0" xfId="0" applyNumberFormat="1" applyFont="1" applyFill="0" applyBorder="1"/>
    <x:xf numFmtId="205" fontId="0" borderId="0" xfId="0" applyNumberFormat="1" applyFont="1" applyFill="0" applyBorder="1"/>
    <x:xf numFmtId="206" fontId="0" borderId="0" xfId="0" applyNumberFormat="1" applyFont="1" applyFill="0" applyBorder="1"/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0" xfId="0" applyNumberFormat="1" applyFont="1" applyFill="0" applyBorder="1" applyAlignment="1">
      <x:alignment vertical="top" wrapText="1"/>
    </x:xf>
    <x:xf numFmtId="0" fontId="2" borderId="1" xfId="0" applyNumberFormat="1" applyFont="1" applyFill="0" applyBorder="1"/>
    <x:xf numFmtId="0" fontId="0" fillId="0" borderId="1" xfId="0" applyNumberFormat="1" applyFont="1" applyFill="1" applyBorder="1"/>
    <x:xf numFmtId="205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3" borderId="1" xfId="0" applyNumberFormat="1" applyFont="1" applyFill="0" applyBorder="1"/>
    <x:xf numFmtId="204" fontId="0" borderId="1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1e3417f494f7e" /><Relationship Type="http://schemas.openxmlformats.org/officeDocument/2006/relationships/theme" Target="/xl/theme/theme1.xml" Id="Rbfeb7fc775ec414c" /><Relationship Type="http://schemas.openxmlformats.org/officeDocument/2006/relationships/sharedStrings" Target="/xl/sharedStrings.xml" Id="R03206b1ee4c74280" /><Relationship Type="http://schemas.openxmlformats.org/officeDocument/2006/relationships/worksheet" Target="/xl/worksheets/sheet1.xml" Id="R771466ea7f6f466b" /><Relationship Type="http://schemas.openxmlformats.org/officeDocument/2006/relationships/worksheet" Target="/xl/worksheets/sheet2.xml" Id="R9e3d19a02ff44e4b" /><Relationship Type="http://schemas.openxmlformats.org/officeDocument/2006/relationships/worksheet" Target="/xl/worksheets/sheet3.xml" Id="R3bb5b20a289348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.670000076293945" hidden="0" customWidth="1"/>
    <x:col min="3" max="3" width="16.670000076293945" hidden="0" customWidth="1"/>
    <x:col min="4" max="4" width="20" hidden="0" customWidth="1"/>
    <x:col min="5" max="5" width="14.4399995803833" hidden="0" customWidth="1"/>
    <x:col min="6" max="6" width="13.329999923706055" hidden="0" customWidth="1"/>
  </x:cols>
  <x:sheetData>
    <x:row r="1" ht="19.200000762939453" hidden="0" customHeight="1">
      <x:c r="A1" s="4" t="str">
        <x:v>20 Ft Enclosed Trailer Rental Calculator</x:v>
      </x:c>
      <x:c r="B1" s="4" t="str"/>
      <x:c r="C1" s="4" t="str"/>
      <x:c r="D1" s="4" t="str"/>
      <x:c r="E1" s="4" t="str"/>
      <x:c r="F1" s="4" t="str"/>
    </x:row>
    <x:row r="2"/>
    <x:row r="3" ht="15" hidden="0" customHeight="1">
      <x:c r="A3" s="6" t="str">
        <x:v>Inputs</x:v>
      </x:c>
      <x:c r="B3" s="6" t="str"/>
      <x:c r="C3" s="6" t="str"/>
      <x:c r="D3" s="6" t="str">
        <x:v>Calculated Rental Cost</x:v>
      </x:c>
      <x:c r="E3" s="6" t="str"/>
      <x:c r="F3" s="6" t="str"/>
    </x:row>
    <x:row r="4" ht="15" hidden="0" customHeight="1">
      <x:c r="A4" s="7" t="str">
        <x:v>Pickup Date</x:v>
      </x:c>
      <x:c r="B4" s="8" t="n">
        <x:v>46183</x:v>
      </x:c>
      <x:c r="D4" s="7" t="str">
        <x:v>Duration Days</x:v>
      </x:c>
      <x:c r="E4" s="14" t="n">
        <x:f>IF(OR($B$4="",$B$6=""),"",MAX(0,INT($B$6)-INT($B$4)))</x:f>
        <x:v>7</x:v>
      </x:c>
    </x:row>
    <x:row r="5" ht="15" hidden="0" customHeight="1">
      <x:c r="A5" s="7" t="str">
        <x:v>Pickup Time (optional)</x:v>
      </x:c>
      <x:c r="B5" s="9" t="str"/>
      <x:c r="D5" s="7" t="str">
        <x:v>Time Add-On Day</x:v>
      </x:c>
      <x:c r="E5" s="14" t="n">
        <x:f>IF(OR($B$4="",$B$6=""),"",IFERROR(IF(MOD($B$7,1)-MOD($B$5,1)&gt;=$B$8/24,1,0),0))</x:f>
        <x:v>0</x:v>
      </x:c>
    </x:row>
    <x:row r="6" ht="15" hidden="0" customHeight="1">
      <x:c r="A6" s="7" t="str">
        <x:v>Return Date</x:v>
      </x:c>
      <x:c r="B6" s="8" t="n">
        <x:v>46190</x:v>
      </x:c>
      <x:c r="D6" s="7" t="str">
        <x:v>Billable Days</x:v>
      </x:c>
      <x:c r="E6" s="14" t="n">
        <x:f>IF(OR($B$4="",$B$6=""),"",IF($B$6&lt;$B$4,"Return before pickup",MAX(1,E4+E5)))</x:f>
        <x:v>7</x:v>
      </x:c>
    </x:row>
    <x:row r="7" ht="15" hidden="0" customHeight="1">
      <x:c r="A7" s="7" t="str">
        <x:v>Return Time (optional)</x:v>
      </x:c>
      <x:c r="B7" s="9" t="str"/>
      <x:c r="D7" s="7" t="str">
        <x:v>Discount Tier</x:v>
      </x:c>
      <x:c r="E7" s="13" t="n">
        <x:f>IF(ISNUMBER(E6),LOOKUP(E6,'Rate Setup'!$A$10:$A$14,'Rate Setup'!$C$10:$C$14),"")</x:f>
        <x:v>0.3</x:v>
      </x:c>
    </x:row>
    <x:row r="8" ht="15" hidden="0" customHeight="1">
      <x:c r="A8" s="7" t="str">
        <x:v>Grace Threshold (hours)</x:v>
      </x:c>
      <x:c r="B8" s="10" t="n">
        <x:v>1</x:v>
      </x:c>
      <x:c r="D8" s="7" t="str">
        <x:v>Gross Rental</x:v>
      </x:c>
      <x:c r="E8" s="12" t="n">
        <x:f>IF(ISNUMBER(E6),E6*'Rate Setup'!$B$4,"")</x:f>
        <x:v>1050</x:v>
      </x:c>
    </x:row>
    <x:row r="9" ht="15" hidden="0" customHeight="1">
      <x:c r="A9" s="7" t="str">
        <x:v>Tax / Fee Rate</x:v>
      </x:c>
      <x:c r="B9" s="11" t="n">
        <x:v>0</x:v>
      </x:c>
      <x:c r="D9" s="7" t="str">
        <x:v>Discount Amount</x:v>
      </x:c>
      <x:c r="E9" s="12" t="n">
        <x:f>IF(E8="","",E8*E7)</x:f>
        <x:v>315</x:v>
      </x:c>
    </x:row>
    <x:row r="10" ht="15" hidden="0" customHeight="1">
      <x:c r="D10" s="7" t="str">
        <x:v>Net Rental</x:v>
      </x:c>
      <x:c r="E10" s="12" t="n">
        <x:f>IF(E8="","",E8-E9)</x:f>
        <x:v>735</x:v>
      </x:c>
    </x:row>
    <x:row r="11" ht="15" hidden="0" customHeight="1">
      <x:c r="A11" s="6" t="str">
        <x:v>Trip / Fuel Inputs</x:v>
      </x:c>
      <x:c r="B11" s="6" t="str"/>
      <x:c r="D11" s="7" t="str">
        <x:v>Tax / Fees</x:v>
      </x:c>
      <x:c r="E11" s="12" t="n">
        <x:f>IF(E10="","",E10*$B$9)</x:f>
        <x:v>0</x:v>
      </x:c>
    </x:row>
    <x:row r="12" ht="15" hidden="0" customHeight="1">
      <x:c r="A12" s="7" t="str">
        <x:v>Trip Miles</x:v>
      </x:c>
      <x:c r="B12" s="10" t="n">
        <x:v>500</x:v>
      </x:c>
      <x:c r="D12" s="7" t="str">
        <x:v>Total Due</x:v>
      </x:c>
      <x:c r="E12" s="12" t="n">
        <x:f>IF(E10="","",E10+E11)</x:f>
        <x:v>735</x:v>
      </x:c>
    </x:row>
    <x:row r="13" ht="15" hidden="0" customHeight="1">
      <x:c r="A13" s="7" t="str">
        <x:v>Vehicle MPG</x:v>
      </x:c>
      <x:c r="B13" s="10" t="n">
        <x:v>10</x:v>
      </x:c>
      <x:c r="D13" s="6" t="str">
        <x:v>Trip / Fuel Estimate</x:v>
      </x:c>
      <x:c r="E13" s="6" t="str"/>
    </x:row>
    <x:row r="14" ht="15" hidden="0" customHeight="1">
      <x:c r="A14" s="7" t="str">
        <x:v>Fuel Price / Gallon</x:v>
      </x:c>
      <x:c r="B14" s="12" t="n">
        <x:v>3.25</x:v>
      </x:c>
      <x:c r="D14" s="7" t="str">
        <x:v>Trip Miles</x:v>
      </x:c>
      <x:c r="E14" s="10" t="n">
        <x:f>IF($B$12="","",$B$12)</x:f>
        <x:v>500</x:v>
      </x:c>
    </x:row>
    <x:row r="15" ht="15" hidden="0" customHeight="1">
      <x:c r="D15" s="7" t="str">
        <x:v>Fuel Needed (gal)</x:v>
      </x:c>
      <x:c r="E15" s="10" t="n">
        <x:f>IF(OR($B$12="",$B$13="", $B$13=0),"",$B$12/$B$13)</x:f>
        <x:v>50</x:v>
      </x:c>
    </x:row>
    <x:row r="16" ht="15" hidden="0" customHeight="1">
      <x:c r="D16" s="7" t="str">
        <x:v>Fuel Cost</x:v>
      </x:c>
      <x:c r="E16" s="12" t="n">
        <x:f>IF(E15="","",E15*$B$14)</x:f>
        <x:v>162.5</x:v>
      </x:c>
    </x:row>
    <x:row r="17" ht="15" hidden="0" customHeight="1">
      <x:c r="D17" s="7" t="str">
        <x:v>Rental + Fuel</x:v>
      </x:c>
      <x:c r="E17" s="12" t="n">
        <x:f>IF(OR(E12="",E16=""),"",E12+E16)</x:f>
        <x:v>897.5</x:v>
      </x:c>
    </x:row>
    <x:row r="18" ht="15" hidden="0" customHeight="1">
      <x:c r="D18" s="7" t="str">
        <x:v>Cost Per Mile</x:v>
      </x:c>
      <x:c r="E18" s="12" t="n">
        <x:f>IF(OR(E17="",$B$12="", $B$12=0),"",E17/$B$12)</x:f>
        <x:v>1.795</x:v>
      </x:c>
    </x:row>
    <x:row r="19" ht="15" hidden="0" customHeight="1">
      <x:c r="D19" s="7" t="str">
        <x:v>Cost Per Billable Day</x:v>
      </x:c>
      <x:c r="E19" s="12" t="n">
        <x:f>IF(OR(E17="",E6="",NOT(ISNUMBER(E6))),"",E17/E6)</x:f>
        <x:v>128.21428571428572</x:v>
      </x:c>
    </x:row>
    <x:row r="20"/>
    <x:row r="21" ht="15" hidden="0" customHeight="1">
      <x:c r="A21" s="5" t="str">
        <x:v>Billing Rule Used</x:v>
      </x:c>
      <x:c r="B21" s="5" t="str"/>
      <x:c r="C21" s="5" t="str"/>
      <x:c r="D21" s="5" t="str"/>
      <x:c r="E21" s="5" t="str"/>
      <x:c r="F21" s="5" t="str"/>
    </x:row>
    <x:row r="22" ht="15" hidden="0" customHeight="1">
      <x:c r="A22" s="17" t="str">
        <x:v>The webpage states rental periods are 24 hours.</x:v>
      </x:c>
      <x:c r="B22" s="17" t="str"/>
      <x:c r="C22" s="17" t="str"/>
      <x:c r="D22" s="17" t="str"/>
      <x:c r="E22" s="17" t="str"/>
      <x:c r="F22" s="17" t="str"/>
    </x:row>
    <x:row r="23" ht="15" hidden="0" customHeight="1">
      <x:c r="A23" s="17" t="str">
        <x:v>If return time is at least 1 hour later than pickup time, the calculator adds 1 billable day.</x:v>
      </x:c>
      <x:c r="B23" s="17" t="str"/>
      <x:c r="C23" s="17" t="str"/>
      <x:c r="D23" s="17" t="str"/>
      <x:c r="E23" s="17" t="str"/>
      <x:c r="F23" s="17" t="str"/>
    </x:row>
    <x:row r="24" ht="15" hidden="0" customHeight="1">
      <x:c r="A24" s="17" t="str">
        <x:v>Rental cost is calculated as billable days times the daily rate, then the applicable day-count discount is applied.</x:v>
      </x:c>
      <x:c r="B24" s="17" t="str"/>
      <x:c r="C24" s="17" t="str"/>
      <x:c r="D24" s="17" t="str"/>
      <x:c r="E24" s="17" t="str"/>
      <x:c r="F24" s="17" t="str"/>
    </x:row>
    <x:row r="25" ht="15" hidden="0" customHeight="1">
      <x:c r="A25" s="17" t="str">
        <x:v>Edit Rate Setup if Bham Trailer Rentals changes the daily rate or discount tiers.</x:v>
      </x:c>
      <x:c r="B25" s="17" t="str"/>
      <x:c r="C25" s="17" t="str"/>
      <x:c r="D25" s="17" t="str"/>
      <x:c r="E25" s="17" t="str"/>
      <x:c r="F25" s="17" t="str"/>
    </x:row>
    <x:row r="26" ht="15" hidden="0" customHeight="1">
      <x:c r="A26" s="17" t="str">
        <x:v>Fuel cost is calculated from user-entered trip miles, vehicle MPG, and fuel price per gallon.</x:v>
      </x:c>
      <x:c r="B26" s="17" t="str"/>
      <x:c r="C26" s="17" t="str"/>
      <x:c r="D26" s="17" t="str"/>
      <x:c r="E26" s="17" t="str"/>
      <x:c r="F26" s="17" t="str"/>
    </x:row>
    <x:row r="27"/>
    <x:row r="28" ht="15" hidden="0" customHeight="1">
      <x:c r="A28" s="5" t="str">
        <x:v>Example Scenarios</x:v>
      </x:c>
      <x:c r="B28" s="5" t="str"/>
      <x:c r="C28" s="5" t="str"/>
      <x:c r="D28" s="5" t="str"/>
      <x:c r="E28" s="5" t="str"/>
    </x:row>
    <x:row r="29" ht="15" hidden="0" customHeight="1">
      <x:c r="A29" s="18" t="str">
        <x:v>Billable Days</x:v>
      </x:c>
      <x:c r="B29" s="18" t="str">
        <x:v>Discount</x:v>
      </x:c>
      <x:c r="C29" s="18" t="str">
        <x:v>Rental Cost</x:v>
      </x:c>
      <x:c r="D29" s="18" t="str">
        <x:v>Discount Amount</x:v>
      </x:c>
      <x:c r="E29" s="18" t="str">
        <x:v>Notes</x:v>
      </x:c>
    </x:row>
    <x:row r="30" ht="15" hidden="0" customHeight="1">
      <x:c r="A30" s="19" t="n">
        <x:v>1</x:v>
      </x:c>
      <x:c r="B30" s="20" t="n">
        <x:f>LOOKUP(A30,'Rate Setup'!$A$10:$A$14,'Rate Setup'!$C$10:$C$14)</x:f>
        <x:v>0.05</x:v>
      </x:c>
      <x:c r="C30" s="21" t="n">
        <x:f>A30*'Rate Setup'!$B$4*(1-B30)</x:f>
        <x:v>142.5</x:v>
      </x:c>
      <x:c r="D30" s="21" t="n">
        <x:f>A30*'Rate Setup'!$B$4*B30</x:f>
        <x:v>7.5</x:v>
      </x:c>
      <x:c r="E30" s="19" t="str">
        <x:v>1-5 day tier</x:v>
      </x:c>
    </x:row>
    <x:row r="31" ht="15" hidden="0" customHeight="1">
      <x:c r="A31" s="19" t="n">
        <x:v>6</x:v>
      </x:c>
      <x:c r="B31" s="20" t="n">
        <x:f>LOOKUP(A31,'Rate Setup'!$A$10:$A$14,'Rate Setup'!$C$10:$C$14)</x:f>
        <x:v>0.18</x:v>
      </x:c>
      <x:c r="C31" s="21" t="n">
        <x:f>A31*'Rate Setup'!$B$4*(1-B31)</x:f>
        <x:v>738</x:v>
      </x:c>
      <x:c r="D31" s="21" t="n">
        <x:f>A31*'Rate Setup'!$B$4*B31</x:f>
        <x:v>162</x:v>
      </x:c>
      <x:c r="E31" s="19" t="str">
        <x:v>6 day tier</x:v>
      </x:c>
    </x:row>
    <x:row r="32" ht="15" hidden="0" customHeight="1">
      <x:c r="A32" s="19" t="n">
        <x:v>7</x:v>
      </x:c>
      <x:c r="B32" s="20" t="n">
        <x:f>LOOKUP(A32,'Rate Setup'!$A$10:$A$14,'Rate Setup'!$C$10:$C$14)</x:f>
        <x:v>0.3</x:v>
      </x:c>
      <x:c r="C32" s="21" t="n">
        <x:f>A32*'Rate Setup'!$B$4*(1-B32)</x:f>
        <x:v>735</x:v>
      </x:c>
      <x:c r="D32" s="21" t="n">
        <x:f>A32*'Rate Setup'!$B$4*B32</x:f>
        <x:v>315</x:v>
      </x:c>
      <x:c r="E32" s="19" t="str">
        <x:v>7-13 day tier</x:v>
      </x:c>
    </x:row>
    <x:row r="33" ht="15" hidden="0" customHeight="1">
      <x:c r="A33" s="19" t="n">
        <x:v>14</x:v>
      </x:c>
      <x:c r="B33" s="20" t="n">
        <x:f>LOOKUP(A33,'Rate Setup'!$A$10:$A$14,'Rate Setup'!$C$10:$C$14)</x:f>
        <x:v>0.35</x:v>
      </x:c>
      <x:c r="C33" s="21" t="n">
        <x:f>A33*'Rate Setup'!$B$4*(1-B33)</x:f>
        <x:v>1365</x:v>
      </x:c>
      <x:c r="D33" s="21" t="n">
        <x:f>A33*'Rate Setup'!$B$4*B33</x:f>
        <x:v>735</x:v>
      </x:c>
      <x:c r="E33" s="19" t="str">
        <x:v>14-20 day tier</x:v>
      </x:c>
    </x:row>
    <x:row r="34" ht="15" hidden="0" customHeight="1">
      <x:c r="A34" s="19" t="n">
        <x:v>21</x:v>
      </x:c>
      <x:c r="B34" s="20" t="n">
        <x:f>LOOKUP(A34,'Rate Setup'!$A$10:$A$14,'Rate Setup'!$C$10:$C$14)</x:f>
        <x:v>0.4</x:v>
      </x:c>
      <x:c r="C34" s="21" t="n">
        <x:f>A34*'Rate Setup'!$B$4*(1-B34)</x:f>
        <x:v>1890</x:v>
      </x:c>
      <x:c r="D34" s="21" t="n">
        <x:f>A34*'Rate Setup'!$B$4*B34</x:f>
        <x:v>1260</x:v>
      </x:c>
      <x:c r="E34" s="19" t="str">
        <x:v>21+ day tier</x:v>
      </x:c>
    </x:row>
  </x:sheetData>
  <x:mergeCells>
    <x:mergeCell ref="A1:F1"/>
    <x:mergeCell ref="A3:C3"/>
    <x:mergeCell ref="D3:F3"/>
    <x:mergeCell ref="A11:B11"/>
    <x:mergeCell ref="D13:E13"/>
    <x:mergeCell ref="A21:F21"/>
    <x:mergeCell ref="A22:F22"/>
    <x:mergeCell ref="A23:F23"/>
    <x:mergeCell ref="A24:F24"/>
    <x:mergeCell ref="A25:F25"/>
    <x:mergeCell ref="A26:F26"/>
    <x:mergeCell ref="A28:E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16.670000076293945" hidden="0" customWidth="1"/>
    <x:col min="3" max="3" width="28.889999389648438" hidden="0" customWidth="1"/>
    <x:col min="4" max="4" width="16.670000076293945" hidden="0" customWidth="1"/>
    <x:col min="5" max="5" width="26.670000076293945" hidden="0" customWidth="1"/>
  </x:cols>
  <x:sheetData>
    <x:row r="1" ht="19.200000762939453" hidden="0" customHeight="1">
      <x:c r="A1" s="2" t="str">
        <x:v>Rate Setup</x:v>
      </x:c>
      <x:c r="B1" s="2" t="str"/>
      <x:c r="C1" s="2" t="str"/>
      <x:c r="D1" s="2" t="str"/>
    </x:row>
    <x:row r="2"/>
    <x:row r="3" ht="15" hidden="0" customHeight="1">
      <x:c r="A3" s="18" t="str">
        <x:v>Rate Item</x:v>
      </x:c>
      <x:c r="B3" s="18" t="str">
        <x:v>Amount</x:v>
      </x:c>
      <x:c r="C3" s="18" t="str">
        <x:v>Source / Assumption</x:v>
      </x:c>
    </x:row>
    <x:row r="4" ht="15" hidden="0" customHeight="1">
      <x:c r="A4" s="22" t="str">
        <x:v>Published daily rate</x:v>
      </x:c>
      <x:c r="B4" s="23" t="n">
        <x:v>150</x:v>
      </x:c>
      <x:c r="C4" s="19" t="str">
        <x:v>Webpage: $150 per 24 hours</x:v>
      </x:c>
    </x:row>
    <x:row r="5"/>
    <x:row r="6"/>
    <x:row r="7"/>
    <x:row r="8"/>
    <x:row r="9" ht="15" hidden="0" customHeight="1">
      <x:c r="A9" s="18" t="str">
        <x:v>Minimum Days</x:v>
      </x:c>
      <x:c r="B9" s="18" t="str">
        <x:v>Maximum Days</x:v>
      </x:c>
      <x:c r="C9" s="18" t="str">
        <x:v>Discount</x:v>
      </x:c>
      <x:c r="D9" s="18" t="str">
        <x:v>Tier Label</x:v>
      </x:c>
      <x:c r="E9" s="18" t="str">
        <x:v>Source / Assumption</x:v>
      </x:c>
    </x:row>
    <x:row r="10" ht="15" hidden="0" customHeight="1">
      <x:c r="A10" s="19" t="n">
        <x:v>1</x:v>
      </x:c>
      <x:c r="B10" s="19" t="n">
        <x:v>5</x:v>
      </x:c>
      <x:c r="C10" s="20" t="n">
        <x:v>0.05</x:v>
      </x:c>
      <x:c r="D10" s="19" t="str">
        <x:v>1-5 days</x:v>
      </x:c>
      <x:c r="E10" s="19" t="str">
        <x:v>User-provided site discount</x:v>
      </x:c>
    </x:row>
    <x:row r="11" ht="15" hidden="0" customHeight="1">
      <x:c r="A11" s="19" t="n">
        <x:v>6</x:v>
      </x:c>
      <x:c r="B11" s="19" t="n">
        <x:v>6</x:v>
      </x:c>
      <x:c r="C11" s="20" t="n">
        <x:v>0.18</x:v>
      </x:c>
      <x:c r="D11" s="19" t="str">
        <x:v>6 days</x:v>
      </x:c>
      <x:c r="E11" s="19" t="str">
        <x:v>User-provided site discount</x:v>
      </x:c>
    </x:row>
    <x:row r="12" ht="15" hidden="0" customHeight="1">
      <x:c r="A12" s="19" t="n">
        <x:v>7</x:v>
      </x:c>
      <x:c r="B12" s="19" t="n">
        <x:v>13</x:v>
      </x:c>
      <x:c r="C12" s="20" t="n">
        <x:v>0.3</x:v>
      </x:c>
      <x:c r="D12" s="19" t="str">
        <x:v>7-13 days</x:v>
      </x:c>
      <x:c r="E12" s="19" t="str">
        <x:v>User-provided site discount</x:v>
      </x:c>
    </x:row>
    <x:row r="13" ht="15" hidden="0" customHeight="1">
      <x:c r="A13" s="19" t="n">
        <x:v>14</x:v>
      </x:c>
      <x:c r="B13" s="19" t="n">
        <x:v>20</x:v>
      </x:c>
      <x:c r="C13" s="20" t="n">
        <x:v>0.35</x:v>
      </x:c>
      <x:c r="D13" s="19" t="str">
        <x:v>14-20 days</x:v>
      </x:c>
      <x:c r="E13" s="19" t="str">
        <x:v>User-provided site discount</x:v>
      </x:c>
    </x:row>
    <x:row r="14" ht="15" hidden="0" customHeight="1">
      <x:c r="A14" s="19" t="n">
        <x:v>21</x:v>
      </x:c>
      <x:c r="B14" s="19" t="str"/>
      <x:c r="C14" s="20" t="n">
        <x:v>0.4</x:v>
      </x:c>
      <x:c r="D14" s="19" t="str">
        <x:v>21+ days</x:v>
      </x:c>
      <x:c r="E14" s="19" t="str">
        <x:v>User-provided site discount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84.44000244140625" hidden="0" customWidth="1"/>
  </x:cols>
  <x:sheetData>
    <x:row r="1" ht="19.200000762939453" hidden="0" customHeight="1">
      <x:c r="A1" s="2" t="str">
        <x:v>Source Notes</x:v>
      </x:c>
      <x:c r="B1" s="2" t="str"/>
      <x:c r="C1" s="2" t="str"/>
      <x:c r="D1" s="2" t="str"/>
    </x:row>
    <x:row r="2"/>
    <x:row r="3" ht="15" hidden="0" customHeight="1">
      <x:c r="A3" s="26" t="str">
        <x:v>Source URL</x:v>
      </x:c>
      <x:c r="B3" s="27" t="str">
        <x:v>https://bhamtrailers.com/20-Enclosed-Trailer</x:v>
      </x:c>
    </x:row>
    <x:row r="4" ht="15" hidden="0" customHeight="1">
      <x:c r="A4" s="26" t="str">
        <x:v>Trailer</x:v>
      </x:c>
      <x:c r="B4" s="27" t="str">
        <x:v>8.5' x 20' Enclosed Trailer</x:v>
      </x:c>
    </x:row>
    <x:row r="5" ht="15" hidden="0" customHeight="1">
      <x:c r="A5" s="26" t="str">
        <x:v>Published Daily Rate</x:v>
      </x:c>
      <x:c r="B5" s="27" t="str">
        <x:v>$150 per 24 hours</x:v>
      </x:c>
    </x:row>
    <x:row r="6" ht="15" hidden="0" customHeight="1">
      <x:c r="A6" s="26" t="str">
        <x:v>Discount Tiers</x:v>
      </x:c>
      <x:c r="B6" s="27" t="str">
        <x:v>5% for 1-5 days; 18% for 6 days; 30% for 7-13 days; 35% for 14-20 days; 40% for 21+ days.</x:v>
      </x:c>
    </x:row>
    <x:row r="7" ht="25.5" hidden="0" customHeight="1">
      <x:c r="A7" s="26" t="str">
        <x:v>Billing Period Note</x:v>
      </x:c>
      <x:c r="B7" s="27" t="str">
        <x:v>Rental periods are 24 hours. Return time 1 hour or more later than pickup time adds 1 day.</x:v>
      </x:c>
    </x:row>
    <x:row r="8" ht="25.5" hidden="0" customHeight="1">
      <x:c r="A8" s="26" t="str">
        <x:v>Rental Formula</x:v>
      </x:c>
      <x:c r="B8" s="27" t="str">
        <x:v>Billable days x daily rate x (1 - applicable discount).</x:v>
      </x:c>
    </x:row>
    <x:row r="9" ht="25.5" hidden="0" customHeight="1">
      <x:c r="A9" s="26" t="str">
        <x:v>Workbook Assumption</x:v>
      </x:c>
      <x:c r="B9" s="27" t="str">
        <x:v>Discount tiers are based on the user-provided site language. Edit Rate Setup if Bham Trailer Rentals changes the tiers.</x:v>
      </x:c>
    </x:row>
    <x:row r="10" ht="25.5" hidden="0" customHeight="1">
      <x:c r="A10" s="26" t="str">
        <x:v>Fuel Assumption</x:v>
      </x:c>
      <x:c r="B10" s="27" t="str">
        <x:v>Trip miles, vehicle MPG, and fuel price per gallon are user-entered inputs on the Calculator tab.</x:v>
      </x:c>
    </x:row>
    <x:row r="11" ht="25.5" hidden="0" customHeight="1">
      <x:c r="A11" s="26" t="str">
        <x:v>Google Sheets Compatibility</x:v>
      </x:c>
      <x:c r="B11" s="27" t="str">
        <x:v>Formulas use Google Sheets-compatible functions. Upload or import this XLSX into Google Sheets to edit it there.</x:v>
      </x:c>
    </x:row>
  </x:sheetData>
  <x:mergeCells>
    <x:mergeCell ref="A1:D1"/>
  </x:mergeCells>
  <x:pageMargins left="0.7" right="0.7" top="0.75" bottom="0.75" header="0.3" footer="0.3"/>
</x:worksheet>
</file>